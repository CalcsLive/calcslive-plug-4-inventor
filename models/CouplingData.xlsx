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bookViews>
    <workbookView xWindow="240" yWindow="105" windowWidth="20055" windowHeight="8445"/>
  </bookViews>
  <sheets>
    <sheet name="T10" sheetId="1" r:id="rId1"/>
    <sheet name="ServiceFactors" sheetId="4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D11" i="3" l="1"/>
  <c r="D10" i="3"/>
</calcChain>
</file>

<file path=xl/sharedStrings.xml><?xml version="1.0" encoding="utf-8"?>
<sst xmlns="http://schemas.openxmlformats.org/spreadsheetml/2006/main" count="44" uniqueCount="39">
  <si>
    <t>A</t>
  </si>
  <si>
    <t>C</t>
  </si>
  <si>
    <t>B</t>
  </si>
  <si>
    <t>D</t>
  </si>
  <si>
    <t>F</t>
  </si>
  <si>
    <t>ID</t>
  </si>
  <si>
    <t>S</t>
  </si>
  <si>
    <t>Size</t>
  </si>
  <si>
    <t>1020T</t>
  </si>
  <si>
    <t>1030T</t>
  </si>
  <si>
    <t>1040T</t>
  </si>
  <si>
    <t>1050T</t>
  </si>
  <si>
    <t>TorqueRating</t>
  </si>
  <si>
    <t>AllowSpeed</t>
  </si>
  <si>
    <t>MaxBore</t>
  </si>
  <si>
    <t>MinBore</t>
  </si>
  <si>
    <t>J</t>
  </si>
  <si>
    <t>GAP</t>
  </si>
  <si>
    <t>WeightWithNoBore</t>
  </si>
  <si>
    <t>WeightLube</t>
  </si>
  <si>
    <t>Category</t>
  </si>
  <si>
    <t>Aerator</t>
  </si>
  <si>
    <t>Application</t>
  </si>
  <si>
    <t>Agitators</t>
  </si>
  <si>
    <t>Screw, Propeller, Paddle - Vertical &amp; Horizontal</t>
  </si>
  <si>
    <t>Barge Haul Puller</t>
  </si>
  <si>
    <t>SF</t>
  </si>
  <si>
    <t>Conveyors</t>
  </si>
  <si>
    <t>Apron, Assembly, Belt, Cain, Fligt, Screw</t>
  </si>
  <si>
    <t>Bucket</t>
  </si>
  <si>
    <t>HP</t>
  </si>
  <si>
    <t>Speed</t>
  </si>
  <si>
    <t>1060T</t>
  </si>
  <si>
    <t>1070T</t>
  </si>
  <si>
    <t>1080T</t>
  </si>
  <si>
    <t>1090T</t>
  </si>
  <si>
    <t>1100T</t>
  </si>
  <si>
    <t>Tdemand</t>
  </si>
  <si>
    <t>Tfactored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</si>
</sst>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abSelected="1" workbookViewId="0">
      <selection activeCell="A10" sqref="A10"/>
    </sheetView>
  </sheetViews>
  <sheetFormatPr defaultRowHeight="15" x14ac:dyDescent="0.25"/>
  <cols>
    <col min="1" max="1" width="2.85546875" bestFit="1" customWidth="1"/>
    <col min="2" max="2" width="6" bestFit="1" customWidth="1"/>
    <col min="3" max="3" width="12.85546875" bestFit="1" customWidth="1"/>
    <col min="4" max="4" width="11.7109375" bestFit="1" customWidth="1"/>
    <col min="5" max="5" width="9" bestFit="1" customWidth="1"/>
    <col min="6" max="6" width="8.7109375" bestFit="1" customWidth="1"/>
    <col min="7" max="7" width="19" bestFit="1" customWidth="1"/>
    <col min="8" max="8" width="11.85546875" bestFit="1" customWidth="1"/>
    <col min="9" max="16" width="6.7109375" customWidth="1"/>
  </cols>
  <sheetData>
    <row r="1" spans="1:16" s="1" customFormat="1" x14ac:dyDescent="0.25">
      <c r="A1" s="1" t="s">
        <v>5</v>
      </c>
      <c r="B1" s="1" t="s">
        <v>7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18</v>
      </c>
      <c r="H1" s="1" t="s">
        <v>19</v>
      </c>
      <c r="I1" s="1" t="s">
        <v>0</v>
      </c>
      <c r="J1" s="1" t="s">
        <v>2</v>
      </c>
      <c r="K1" s="1" t="s">
        <v>1</v>
      </c>
      <c r="L1" s="1" t="s">
        <v>3</v>
      </c>
      <c r="M1" s="1" t="s">
        <v>4</v>
      </c>
      <c r="N1" s="1" t="s">
        <v>16</v>
      </c>
      <c r="O1" s="1" t="s">
        <v>6</v>
      </c>
      <c r="P1" s="1" t="s">
        <v>17</v>
      </c>
    </row>
    <row r="2" spans="1:16" s="1" customFormat="1" x14ac:dyDescent="0.25">
      <c r="A2" s="2">
        <v>1</v>
      </c>
      <c r="B2" s="2" t="s">
        <v>8</v>
      </c>
      <c r="C2" s="2">
        <v>460</v>
      </c>
      <c r="D2" s="2">
        <v>4500</v>
      </c>
      <c r="E2" s="3">
        <v>1.125</v>
      </c>
      <c r="F2" s="2">
        <v>0.5</v>
      </c>
      <c r="G2" s="2">
        <v>4.2</v>
      </c>
      <c r="H2" s="3">
        <v>0.06</v>
      </c>
      <c r="I2" s="3">
        <v>3.82</v>
      </c>
      <c r="J2" s="3">
        <v>3.88</v>
      </c>
      <c r="K2" s="3">
        <v>1.88</v>
      </c>
      <c r="L2" s="3">
        <v>1.56</v>
      </c>
      <c r="M2" s="3">
        <v>0</v>
      </c>
      <c r="N2" s="3">
        <v>2.62</v>
      </c>
      <c r="O2" s="3">
        <v>1.54</v>
      </c>
      <c r="P2" s="3">
        <v>0.125</v>
      </c>
    </row>
    <row r="3" spans="1:16" s="1" customFormat="1" x14ac:dyDescent="0.25">
      <c r="A3" s="2">
        <v>2</v>
      </c>
      <c r="B3" s="2" t="s">
        <v>9</v>
      </c>
      <c r="C3" s="2">
        <v>1320</v>
      </c>
      <c r="D3" s="2">
        <v>4500</v>
      </c>
      <c r="E3" s="3">
        <v>1.375</v>
      </c>
      <c r="F3" s="2">
        <v>0.5</v>
      </c>
      <c r="G3" s="2">
        <v>5.7</v>
      </c>
      <c r="H3" s="2">
        <v>0.09</v>
      </c>
      <c r="I3" s="3">
        <v>4.16</v>
      </c>
      <c r="J3" s="3">
        <v>3.88</v>
      </c>
      <c r="K3" s="3">
        <v>1.88</v>
      </c>
      <c r="L3" s="3">
        <v>1.94</v>
      </c>
      <c r="M3" s="3">
        <v>0</v>
      </c>
      <c r="N3" s="3">
        <v>2.69</v>
      </c>
      <c r="O3" s="3">
        <v>1.54</v>
      </c>
      <c r="P3" s="3">
        <v>0.125</v>
      </c>
    </row>
    <row r="4" spans="1:16" s="1" customFormat="1" x14ac:dyDescent="0.25">
      <c r="A4" s="2">
        <v>3</v>
      </c>
      <c r="B4" s="3" t="s">
        <v>10</v>
      </c>
      <c r="C4" s="2">
        <v>2200</v>
      </c>
      <c r="D4" s="2">
        <v>4500</v>
      </c>
      <c r="E4" s="3">
        <v>1.625</v>
      </c>
      <c r="F4" s="2">
        <v>0.5</v>
      </c>
      <c r="G4" s="2">
        <v>7.4</v>
      </c>
      <c r="H4" s="3">
        <v>0.12</v>
      </c>
      <c r="I4" s="3">
        <v>4.5</v>
      </c>
      <c r="J4" s="3">
        <v>4.12</v>
      </c>
      <c r="K4" s="3">
        <v>2</v>
      </c>
      <c r="L4" s="3">
        <v>2.25</v>
      </c>
      <c r="M4" s="3">
        <v>0</v>
      </c>
      <c r="N4" s="3">
        <v>2.75</v>
      </c>
      <c r="O4" s="3">
        <v>1.58</v>
      </c>
      <c r="P4" s="3">
        <v>0.125</v>
      </c>
    </row>
    <row r="5" spans="1:16" s="1" customFormat="1" x14ac:dyDescent="0.25">
      <c r="A5" s="2">
        <v>4</v>
      </c>
      <c r="B5" s="3" t="s">
        <v>11</v>
      </c>
      <c r="C5" s="2">
        <v>3850</v>
      </c>
      <c r="D5" s="2">
        <v>4500</v>
      </c>
      <c r="E5" s="3">
        <v>1.875</v>
      </c>
      <c r="F5" s="2">
        <v>0.5</v>
      </c>
      <c r="G5" s="2">
        <v>12</v>
      </c>
      <c r="H5" s="2">
        <v>0.15</v>
      </c>
      <c r="I5" s="3">
        <v>5.32</v>
      </c>
      <c r="J5" s="3">
        <v>4.88</v>
      </c>
      <c r="K5" s="3">
        <v>2.38</v>
      </c>
      <c r="L5" s="3">
        <v>2.62</v>
      </c>
      <c r="M5" s="3">
        <v>0</v>
      </c>
      <c r="N5" s="3">
        <v>3.19</v>
      </c>
      <c r="O5" s="3">
        <v>1.76</v>
      </c>
      <c r="P5" s="3">
        <v>0.125</v>
      </c>
    </row>
    <row r="6" spans="1:16" x14ac:dyDescent="0.25">
      <c r="A6" s="5">
        <v>5</v>
      </c>
      <c r="B6" s="6" t="s">
        <v>32</v>
      </c>
      <c r="C6" s="5">
        <v>6050</v>
      </c>
      <c r="D6" s="5">
        <v>4350</v>
      </c>
      <c r="E6" s="6">
        <v>2.125</v>
      </c>
      <c r="F6" s="6">
        <v>0.75</v>
      </c>
      <c r="G6" s="6">
        <v>16</v>
      </c>
      <c r="H6" s="6">
        <v>0.19</v>
      </c>
      <c r="I6" s="6">
        <v>5.82</v>
      </c>
      <c r="J6" s="6">
        <v>5.12</v>
      </c>
      <c r="K6" s="6">
        <v>2.5</v>
      </c>
      <c r="L6" s="6">
        <v>3</v>
      </c>
      <c r="M6" s="6">
        <v>0</v>
      </c>
      <c r="N6" s="6">
        <v>3.68</v>
      </c>
      <c r="O6" s="6">
        <v>2.06</v>
      </c>
      <c r="P6" s="6">
        <v>0.125</v>
      </c>
    </row>
    <row r="7" spans="1:16" x14ac:dyDescent="0.25">
      <c r="A7" s="5">
        <v>6</v>
      </c>
      <c r="B7" s="6" t="s">
        <v>33</v>
      </c>
      <c r="C7" s="5">
        <v>8800</v>
      </c>
      <c r="D7" s="5">
        <v>4125</v>
      </c>
      <c r="E7" s="6">
        <v>2.5</v>
      </c>
      <c r="F7" s="6">
        <v>0.75</v>
      </c>
      <c r="G7" s="6">
        <v>23</v>
      </c>
      <c r="H7" s="6">
        <v>0.25</v>
      </c>
      <c r="I7" s="6">
        <v>6.25</v>
      </c>
      <c r="J7" s="6">
        <v>6.12</v>
      </c>
      <c r="K7" s="6">
        <v>3</v>
      </c>
      <c r="L7" s="6">
        <v>3.44</v>
      </c>
      <c r="M7" s="6">
        <v>0</v>
      </c>
      <c r="N7" s="6">
        <v>3.81</v>
      </c>
      <c r="O7" s="6">
        <v>2.12</v>
      </c>
      <c r="P7" s="6">
        <v>0.125</v>
      </c>
    </row>
    <row r="8" spans="1:16" x14ac:dyDescent="0.25">
      <c r="A8" s="5">
        <v>7</v>
      </c>
      <c r="B8" s="6" t="s">
        <v>34</v>
      </c>
      <c r="C8" s="5">
        <v>18150</v>
      </c>
      <c r="D8" s="5">
        <v>3600</v>
      </c>
      <c r="E8" s="6">
        <v>3</v>
      </c>
      <c r="F8" s="6">
        <v>1.0620000000000001</v>
      </c>
      <c r="G8" s="6">
        <v>39</v>
      </c>
      <c r="H8" s="6">
        <v>0.38</v>
      </c>
      <c r="I8" s="6">
        <v>7.5</v>
      </c>
      <c r="J8" s="6">
        <v>7.12</v>
      </c>
      <c r="K8" s="6">
        <v>3.5</v>
      </c>
      <c r="L8" s="6">
        <v>4.12</v>
      </c>
      <c r="M8" s="6">
        <v>0</v>
      </c>
      <c r="N8" s="6">
        <v>4.55</v>
      </c>
      <c r="O8" s="6">
        <v>2.54</v>
      </c>
      <c r="P8" s="6">
        <v>0.125</v>
      </c>
    </row>
    <row r="9" spans="1:16" x14ac:dyDescent="0.25">
      <c r="A9" s="5">
        <v>8</v>
      </c>
      <c r="B9" s="6" t="s">
        <v>35</v>
      </c>
      <c r="C9" s="5">
        <v>33000</v>
      </c>
      <c r="D9" s="5">
        <v>3600</v>
      </c>
      <c r="E9" s="6">
        <v>3.5</v>
      </c>
      <c r="F9" s="6">
        <v>1.0620000000000001</v>
      </c>
      <c r="G9" s="6">
        <v>56</v>
      </c>
      <c r="H9" s="6">
        <v>0.56000000000000005</v>
      </c>
      <c r="I9" s="6">
        <v>8.31</v>
      </c>
      <c r="J9" s="6">
        <v>7.88</v>
      </c>
      <c r="K9" s="6">
        <v>3.88</v>
      </c>
      <c r="L9" s="6">
        <v>4.88</v>
      </c>
      <c r="M9" s="6">
        <v>0</v>
      </c>
      <c r="N9" s="6">
        <v>4.8099999999999996</v>
      </c>
      <c r="O9" s="6">
        <v>2.82</v>
      </c>
      <c r="P9" s="6">
        <v>0.125</v>
      </c>
    </row>
    <row r="10" spans="1:16" x14ac:dyDescent="0.25">
      <c r="A10" s="5">
        <v>9</v>
      </c>
      <c r="B10" t="s">
        <v>36</v>
      </c>
      <c r="C10" s="7">
        <v>55550</v>
      </c>
      <c r="D10">
        <v>2440</v>
      </c>
      <c r="E10">
        <v>4</v>
      </c>
      <c r="F10">
        <v>1.625</v>
      </c>
      <c r="G10">
        <v>93</v>
      </c>
      <c r="H10">
        <v>0.94</v>
      </c>
      <c r="I10">
        <v>9.8800000000000008</v>
      </c>
      <c r="J10">
        <v>9.69</v>
      </c>
      <c r="K10">
        <v>4.75</v>
      </c>
      <c r="L10">
        <v>5.59</v>
      </c>
      <c r="M10" s="6">
        <v>0</v>
      </c>
      <c r="N10">
        <v>6.12</v>
      </c>
      <c r="O10" s="6">
        <v>0</v>
      </c>
      <c r="P10">
        <v>0.188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E11" sqref="E11"/>
    </sheetView>
  </sheetViews>
  <sheetFormatPr defaultRowHeight="15" x14ac:dyDescent="0.25"/>
  <cols>
    <col min="1" max="1" width="2.85546875" bestFit="1" customWidth="1"/>
    <col min="2" max="2" width="16.28515625" bestFit="1" customWidth="1"/>
    <col min="3" max="3" width="43.7109375" bestFit="1" customWidth="1"/>
    <col min="4" max="4" width="11.7109375" bestFit="1" customWidth="1"/>
  </cols>
  <sheetData>
    <row r="1" spans="1:4" s="1" customFormat="1" x14ac:dyDescent="0.25">
      <c r="A1" s="4" t="s">
        <v>5</v>
      </c>
      <c r="B1" s="4" t="s">
        <v>20</v>
      </c>
      <c r="C1" s="4" t="s">
        <v>22</v>
      </c>
      <c r="D1" s="4" t="s">
        <v>26</v>
      </c>
    </row>
    <row r="2" spans="1:4" s="1" customFormat="1" x14ac:dyDescent="0.25">
      <c r="A2" s="2">
        <v>1</v>
      </c>
      <c r="B2" s="2" t="s">
        <v>21</v>
      </c>
      <c r="C2" s="2" t="s">
        <v>21</v>
      </c>
      <c r="D2" s="2">
        <v>2</v>
      </c>
    </row>
    <row r="3" spans="1:4" s="1" customFormat="1" x14ac:dyDescent="0.25">
      <c r="A3" s="2">
        <v>2</v>
      </c>
      <c r="B3" s="2" t="s">
        <v>23</v>
      </c>
      <c r="C3" s="2" t="s">
        <v>24</v>
      </c>
      <c r="D3" s="2">
        <v>1</v>
      </c>
    </row>
    <row r="4" spans="1:4" s="1" customFormat="1" x14ac:dyDescent="0.25">
      <c r="A4" s="2">
        <v>3</v>
      </c>
      <c r="B4" s="3" t="s">
        <v>25</v>
      </c>
      <c r="C4" s="3" t="s">
        <v>25</v>
      </c>
      <c r="D4" s="2">
        <v>1.5</v>
      </c>
    </row>
    <row r="5" spans="1:4" s="1" customFormat="1" x14ac:dyDescent="0.25">
      <c r="A5" s="2">
        <v>4</v>
      </c>
      <c r="B5" s="3" t="s">
        <v>27</v>
      </c>
      <c r="C5" s="2" t="s">
        <v>28</v>
      </c>
      <c r="D5" s="2">
        <v>1</v>
      </c>
    </row>
    <row r="6" spans="1:4" s="1" customFormat="1" x14ac:dyDescent="0.25">
      <c r="A6" s="2">
        <v>4</v>
      </c>
      <c r="B6" s="3" t="s">
        <v>27</v>
      </c>
      <c r="C6" s="2" t="s">
        <v>29</v>
      </c>
      <c r="D6" s="2">
        <v>1.25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D11"/>
  <sheetViews>
    <sheetView workbookViewId="0">
      <selection activeCell="G10" sqref="G10"/>
    </sheetView>
  </sheetViews>
  <sheetFormatPr defaultRowHeight="15" x14ac:dyDescent="0.25"/>
  <sheetData>
    <row r="7" spans="3:4" x14ac:dyDescent="0.25">
      <c r="C7" t="s">
        <v>30</v>
      </c>
      <c r="D7">
        <v>5</v>
      </c>
    </row>
    <row r="8" spans="3:4" x14ac:dyDescent="0.25">
      <c r="C8" t="s">
        <v>31</v>
      </c>
      <c r="D8">
        <v>250</v>
      </c>
    </row>
    <row r="9" spans="3:4" x14ac:dyDescent="0.25">
      <c r="C9" t="s">
        <v>26</v>
      </c>
      <c r="D9">
        <v>1.2</v>
      </c>
    </row>
    <row r="10" spans="3:4" x14ac:dyDescent="0.25">
      <c r="C10" t="s">
        <v>37</v>
      </c>
      <c r="D10">
        <f>+D7*63000/D8</f>
        <v>1260</v>
      </c>
    </row>
    <row r="11" spans="3:4" x14ac:dyDescent="0.25">
      <c r="C11" t="s">
        <v>38</v>
      </c>
      <c r="D11">
        <f>+D10*D9</f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T10</vt:lpstr>
      <vt:lpstr>ServiceFactors</vt:lpstr>
      <vt:lpstr>Sheet3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Dream</cp:lastModifiedBy>
  <dcterms:created xsi:type="dcterms:W3CDTF">2012-11-24T06:43:10Z</dcterms:created>
  <dcterms:modified xsi:type="dcterms:W3CDTF">2014-02-06T18:57:14Z</dcterms:modified>
</cp:coreProperties>
</file>